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ki\workspace\cafe-pi-claude\docs\Fees\"/>
    </mc:Choice>
  </mc:AlternateContent>
  <xr:revisionPtr revIDLastSave="0" documentId="13_ncr:1_{F8FA1A9E-03E3-4635-92A5-B341055AD824}" xr6:coauthVersionLast="47" xr6:coauthVersionMax="47" xr10:uidLastSave="{00000000-0000-0000-0000-000000000000}"/>
  <bookViews>
    <workbookView xWindow="-108" yWindow="-108" windowWidth="23256" windowHeight="12456" xr2:uid="{FBAB10B2-E682-4701-ADD3-BC53B4AC2202}"/>
  </bookViews>
  <sheets>
    <sheet name="요금제종합" sheetId="4" r:id="rId1"/>
    <sheet name="구독요금제" sheetId="1" r:id="rId2"/>
    <sheet name="PiCafe요금제" sheetId="2" r:id="rId3"/>
    <sheet name="PiStore요금제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</calcChain>
</file>

<file path=xl/sharedStrings.xml><?xml version="1.0" encoding="utf-8"?>
<sst xmlns="http://schemas.openxmlformats.org/spreadsheetml/2006/main" count="339" uniqueCount="173">
  <si>
    <t>PiCafe구독서비스</t>
    <phoneticPr fontId="2" type="noConversion"/>
  </si>
  <si>
    <t>월구독료(Pi)</t>
    <phoneticPr fontId="2" type="noConversion"/>
  </si>
  <si>
    <t>월구독료(Bean)</t>
    <phoneticPr fontId="2" type="noConversion"/>
  </si>
  <si>
    <t>생성</t>
    <phoneticPr fontId="2" type="noConversion"/>
  </si>
  <si>
    <t>일반</t>
    <phoneticPr fontId="2" type="noConversion"/>
  </si>
  <si>
    <t>프리미엄</t>
    <phoneticPr fontId="2" type="noConversion"/>
  </si>
  <si>
    <t>이벤트</t>
    <phoneticPr fontId="2" type="noConversion"/>
  </si>
  <si>
    <t>FREE</t>
    <phoneticPr fontId="2" type="noConversion"/>
  </si>
  <si>
    <t>10 Beans</t>
    <phoneticPr fontId="2" type="noConversion"/>
  </si>
  <si>
    <t>5 Beans</t>
    <phoneticPr fontId="2" type="noConversion"/>
  </si>
  <si>
    <t>20 Beans</t>
    <phoneticPr fontId="2" type="noConversion"/>
  </si>
  <si>
    <t>1 Bean</t>
    <phoneticPr fontId="2" type="noConversion"/>
  </si>
  <si>
    <t>자동번역 구독서비스</t>
    <phoneticPr fontId="2" type="noConversion"/>
  </si>
  <si>
    <t>자동번역
(1회)</t>
    <phoneticPr fontId="2" type="noConversion"/>
  </si>
  <si>
    <t>음성채팅
(10분)</t>
    <phoneticPr fontId="2" type="noConversion"/>
  </si>
  <si>
    <t>연구독료(Bean)</t>
    <phoneticPr fontId="2" type="noConversion"/>
  </si>
  <si>
    <t>노출(1주일)</t>
    <phoneticPr fontId="2" type="noConversion"/>
  </si>
  <si>
    <t>연장(1주일)</t>
    <phoneticPr fontId="2" type="noConversion"/>
  </si>
  <si>
    <t>상품 50개 이하</t>
    <phoneticPr fontId="2" type="noConversion"/>
  </si>
  <si>
    <t>상품 50개 초과</t>
    <phoneticPr fontId="2" type="noConversion"/>
  </si>
  <si>
    <t>상품 30개 이하</t>
    <phoneticPr fontId="2" type="noConversion"/>
  </si>
  <si>
    <t>PiStore구독서비스(S)</t>
    <phoneticPr fontId="2" type="noConversion"/>
  </si>
  <si>
    <t>PiStore구독서비스(M)</t>
    <phoneticPr fontId="2" type="noConversion"/>
  </si>
  <si>
    <t>PiStore구독서비스(L)</t>
    <phoneticPr fontId="2" type="noConversion"/>
  </si>
  <si>
    <t>설명</t>
    <phoneticPr fontId="2" type="noConversion"/>
  </si>
  <si>
    <t>단일 품목</t>
    <phoneticPr fontId="2" type="noConversion"/>
  </si>
  <si>
    <t>입장 (개수 제한 1개)</t>
    <phoneticPr fontId="2" type="noConversion"/>
  </si>
  <si>
    <t>생성 (개수 제한 1개)</t>
    <phoneticPr fontId="2" type="noConversion"/>
  </si>
  <si>
    <t>CAFÉ 일반</t>
    <phoneticPr fontId="2" type="noConversion"/>
  </si>
  <si>
    <t>CAFÉ 구독</t>
    <phoneticPr fontId="2" type="noConversion"/>
  </si>
  <si>
    <t>생성 (개수 제한 3개)</t>
    <phoneticPr fontId="2" type="noConversion"/>
  </si>
  <si>
    <t>입장 (개수 제한 3개)</t>
    <phoneticPr fontId="2" type="noConversion"/>
  </si>
  <si>
    <t>구독요금제</t>
  </si>
  <si>
    <t>구독요금제</t>
    <phoneticPr fontId="2" type="noConversion"/>
  </si>
  <si>
    <t>&lt;구독요금제&gt;</t>
    <phoneticPr fontId="2" type="noConversion"/>
  </si>
  <si>
    <t>요금종류</t>
    <phoneticPr fontId="2" type="noConversion"/>
  </si>
  <si>
    <t>자국통화의 변동에 따라서 요금이 달라질 수 있음</t>
    <phoneticPr fontId="2" type="noConversion"/>
  </si>
  <si>
    <t>1개월</t>
    <phoneticPr fontId="2" type="noConversion"/>
  </si>
  <si>
    <t>구분</t>
    <phoneticPr fontId="2" type="noConversion"/>
  </si>
  <si>
    <t>Store 일반</t>
    <phoneticPr fontId="2" type="noConversion"/>
  </si>
  <si>
    <t>Store 구독</t>
    <phoneticPr fontId="2" type="noConversion"/>
  </si>
  <si>
    <t>요금제종류코드</t>
    <phoneticPr fontId="2" type="noConversion"/>
  </si>
  <si>
    <t>요금제코드</t>
    <phoneticPr fontId="2" type="noConversion"/>
  </si>
  <si>
    <t>M</t>
    <phoneticPr fontId="2" type="noConversion"/>
  </si>
  <si>
    <t>SM100</t>
    <phoneticPr fontId="2" type="noConversion"/>
  </si>
  <si>
    <t>SM200</t>
    <phoneticPr fontId="2" type="noConversion"/>
  </si>
  <si>
    <t>SM300</t>
    <phoneticPr fontId="2" type="noConversion"/>
  </si>
  <si>
    <t>SM400</t>
    <phoneticPr fontId="2" type="noConversion"/>
  </si>
  <si>
    <t>SM500</t>
    <phoneticPr fontId="2" type="noConversion"/>
  </si>
  <si>
    <t>SY100</t>
    <phoneticPr fontId="2" type="noConversion"/>
  </si>
  <si>
    <t>SY200</t>
    <phoneticPr fontId="2" type="noConversion"/>
  </si>
  <si>
    <t>SY300</t>
    <phoneticPr fontId="2" type="noConversion"/>
  </si>
  <si>
    <t>SY400</t>
    <phoneticPr fontId="2" type="noConversion"/>
  </si>
  <si>
    <t>SY500</t>
    <phoneticPr fontId="2" type="noConversion"/>
  </si>
  <si>
    <t>Year</t>
    <phoneticPr fontId="2" type="noConversion"/>
  </si>
  <si>
    <t>Month</t>
    <phoneticPr fontId="2" type="noConversion"/>
  </si>
  <si>
    <t>월단위 단일 품목</t>
    <phoneticPr fontId="2" type="noConversion"/>
  </si>
  <si>
    <t>월단위 상품 30개 이하</t>
    <phoneticPr fontId="2" type="noConversion"/>
  </si>
  <si>
    <t>월단위 상품 50개 이하</t>
    <phoneticPr fontId="2" type="noConversion"/>
  </si>
  <si>
    <t>월단위 상품 50개 초과</t>
    <phoneticPr fontId="2" type="noConversion"/>
  </si>
  <si>
    <t>년단위 단일 품목</t>
    <phoneticPr fontId="2" type="noConversion"/>
  </si>
  <si>
    <t>년단위 상품 30개 이하</t>
    <phoneticPr fontId="2" type="noConversion"/>
  </si>
  <si>
    <t>년단위 상품 50개 초과</t>
    <phoneticPr fontId="2" type="noConversion"/>
  </si>
  <si>
    <t>요금제설명내용</t>
    <phoneticPr fontId="2" type="noConversion"/>
  </si>
  <si>
    <t>결제주기구분코드</t>
    <phoneticPr fontId="2" type="noConversion"/>
  </si>
  <si>
    <t>CAFÉ 일반 - 생성 이벤트요금</t>
    <phoneticPr fontId="2" type="noConversion"/>
  </si>
  <si>
    <t>CAFÉ 일반 - 생성 프리미엄요금</t>
    <phoneticPr fontId="2" type="noConversion"/>
  </si>
  <si>
    <t>CAFÉ 일반 - 생성 일반요금</t>
    <phoneticPr fontId="2" type="noConversion"/>
  </si>
  <si>
    <t>CAFÉ 일반 - 입장 일반요금</t>
    <phoneticPr fontId="2" type="noConversion"/>
  </si>
  <si>
    <t>CAFÉ 일반 - 입장 프리미엄요금</t>
    <phoneticPr fontId="2" type="noConversion"/>
  </si>
  <si>
    <t>CAFÉ 일반 - 입장 이벤트요금</t>
    <phoneticPr fontId="2" type="noConversion"/>
  </si>
  <si>
    <t>수량제한</t>
    <phoneticPr fontId="2" type="noConversion"/>
  </si>
  <si>
    <t>CAFÉ 일반 - 일반요금. 생성 개수제한 - 1개</t>
    <phoneticPr fontId="2" type="noConversion"/>
  </si>
  <si>
    <t>CAFÉ 일반 - 프리미엄요금. 생성 개수제한 - 1개</t>
    <phoneticPr fontId="2" type="noConversion"/>
  </si>
  <si>
    <t>CAFÉ 일반 - 이벤트요금. 생성 개수제한 - 1개</t>
    <phoneticPr fontId="2" type="noConversion"/>
  </si>
  <si>
    <t>CGGC1</t>
    <phoneticPr fontId="2" type="noConversion"/>
  </si>
  <si>
    <t>CGPC2</t>
    <phoneticPr fontId="2" type="noConversion"/>
  </si>
  <si>
    <t>CGEC3</t>
    <phoneticPr fontId="2" type="noConversion"/>
  </si>
  <si>
    <t>CGGE1</t>
    <phoneticPr fontId="2" type="noConversion"/>
  </si>
  <si>
    <t>CGPE2</t>
    <phoneticPr fontId="2" type="noConversion"/>
  </si>
  <si>
    <t>CGEE3</t>
    <phoneticPr fontId="2" type="noConversion"/>
  </si>
  <si>
    <t>CAFÉ 일반 - 일반요금. 타인생성 카페 입장 개수제한 - 1개</t>
    <phoneticPr fontId="2" type="noConversion"/>
  </si>
  <si>
    <t>CAFÉ 일반 - 프리미엄요금. 타인생성 카페 입장 개수제한 - 1개</t>
    <phoneticPr fontId="2" type="noConversion"/>
  </si>
  <si>
    <t>CAFÉ 일반 - 이벤트요금. 타인생성 카페 입장 개수제한 - 1개</t>
    <phoneticPr fontId="2" type="noConversion"/>
  </si>
  <si>
    <t>CSGC1</t>
    <phoneticPr fontId="2" type="noConversion"/>
  </si>
  <si>
    <t>CSPC2</t>
    <phoneticPr fontId="2" type="noConversion"/>
  </si>
  <si>
    <t>CSEC3</t>
    <phoneticPr fontId="2" type="noConversion"/>
  </si>
  <si>
    <t>CSGE1</t>
    <phoneticPr fontId="2" type="noConversion"/>
  </si>
  <si>
    <t>CSPE2</t>
    <phoneticPr fontId="2" type="noConversion"/>
  </si>
  <si>
    <t>CSEE3</t>
    <phoneticPr fontId="2" type="noConversion"/>
  </si>
  <si>
    <t>SGGC1</t>
    <phoneticPr fontId="2" type="noConversion"/>
  </si>
  <si>
    <t>SGPC2</t>
    <phoneticPr fontId="2" type="noConversion"/>
  </si>
  <si>
    <t>Store 일반 - 일반 생성</t>
    <phoneticPr fontId="2" type="noConversion"/>
  </si>
  <si>
    <t>Store 일반 - 프리미엄 생성</t>
    <phoneticPr fontId="2" type="noConversion"/>
  </si>
  <si>
    <t>Store 일반 - 일반 생성,  개수 제한 없음</t>
    <phoneticPr fontId="2" type="noConversion"/>
  </si>
  <si>
    <t>Store 일반 - 프리미엄 생성, 개수 제한 없음</t>
    <phoneticPr fontId="2" type="noConversion"/>
  </si>
  <si>
    <t>Store 일반 - 일반 노출,  1주일</t>
    <phoneticPr fontId="2" type="noConversion"/>
  </si>
  <si>
    <t>Store 일반 - 프리미엄 노출, 1주일</t>
    <phoneticPr fontId="2" type="noConversion"/>
  </si>
  <si>
    <t>W</t>
    <phoneticPr fontId="2" type="noConversion"/>
  </si>
  <si>
    <t>Store 일반 - 일반 1주일 노출</t>
    <phoneticPr fontId="2" type="noConversion"/>
  </si>
  <si>
    <t>Store 일반 - 프리미엄 1주일 노출</t>
    <phoneticPr fontId="2" type="noConversion"/>
  </si>
  <si>
    <t>Store 일반 - 일반 1주일 연장</t>
    <phoneticPr fontId="2" type="noConversion"/>
  </si>
  <si>
    <t>Store 일반 - 프리미엄 1주일 연장</t>
    <phoneticPr fontId="2" type="noConversion"/>
  </si>
  <si>
    <t>SGGDW</t>
    <phoneticPr fontId="2" type="noConversion"/>
  </si>
  <si>
    <t>SGPDW</t>
    <phoneticPr fontId="2" type="noConversion"/>
  </si>
  <si>
    <t>SGGEW</t>
    <phoneticPr fontId="2" type="noConversion"/>
  </si>
  <si>
    <t>SGPEW</t>
    <phoneticPr fontId="2" type="noConversion"/>
  </si>
  <si>
    <t>SGGDM</t>
    <phoneticPr fontId="2" type="noConversion"/>
  </si>
  <si>
    <t>SGPDM</t>
    <phoneticPr fontId="2" type="noConversion"/>
  </si>
  <si>
    <t>Store 일반 - 일반 1개월 노출</t>
    <phoneticPr fontId="2" type="noConversion"/>
  </si>
  <si>
    <t>Store 일반 - 프리미엄 1개월 노출</t>
    <phoneticPr fontId="2" type="noConversion"/>
  </si>
  <si>
    <t>Store 일반 - 일반 노출,  1개월</t>
    <phoneticPr fontId="2" type="noConversion"/>
  </si>
  <si>
    <t>Store 일반 - 프리미엄 노출, 1개월</t>
    <phoneticPr fontId="2" type="noConversion"/>
  </si>
  <si>
    <t>SGGEM</t>
    <phoneticPr fontId="2" type="noConversion"/>
  </si>
  <si>
    <t>SGPEM</t>
    <phoneticPr fontId="2" type="noConversion"/>
  </si>
  <si>
    <t>Store 일반 - 프리미엄 연장, 1개월</t>
    <phoneticPr fontId="2" type="noConversion"/>
  </si>
  <si>
    <t>Store 일반 - 일반 연장,  1개월</t>
    <phoneticPr fontId="2" type="noConversion"/>
  </si>
  <si>
    <t>CAFÉ 구독 - 입장 일반요금</t>
    <phoneticPr fontId="2" type="noConversion"/>
  </si>
  <si>
    <t>CAFÉ 구독 - 입장 프리미엄요금</t>
    <phoneticPr fontId="2" type="noConversion"/>
  </si>
  <si>
    <t>CAFÉ 구독 - 입장 이벤트요금</t>
    <phoneticPr fontId="2" type="noConversion"/>
  </si>
  <si>
    <t>CAFÉ 구독 - 생성 일반요금</t>
    <phoneticPr fontId="2" type="noConversion"/>
  </si>
  <si>
    <t>CAFÉ 구독 - 생성 프리미엄요금</t>
    <phoneticPr fontId="2" type="noConversion"/>
  </si>
  <si>
    <t>CAFÉ 구독 - 생성 이벤트요금</t>
    <phoneticPr fontId="2" type="noConversion"/>
  </si>
  <si>
    <t>CAFÉ 구독 - 일반요금. 생성 개수제한 - 1개</t>
    <phoneticPr fontId="2" type="noConversion"/>
  </si>
  <si>
    <t>CAFÉ 구독 - 프리미엄요금. 생성 개수제한 - 1개</t>
    <phoneticPr fontId="2" type="noConversion"/>
  </si>
  <si>
    <t>CAFÉ 구독 - 이벤트요금. 생성 개수제한 - 1개</t>
    <phoneticPr fontId="2" type="noConversion"/>
  </si>
  <si>
    <t>CAFÉ 구독 - 일반요금. 타인생성 카페 입장 개수제한 - 1개</t>
    <phoneticPr fontId="2" type="noConversion"/>
  </si>
  <si>
    <t>CAFÉ 구독 - 프리미엄요금. 타인생성 카페 입장 개수제한 - 1개</t>
    <phoneticPr fontId="2" type="noConversion"/>
  </si>
  <si>
    <t>CAFÉ 구독 - 이벤트요금. 타인생성 카페 입장 개수제한 - 1개</t>
    <phoneticPr fontId="2" type="noConversion"/>
  </si>
  <si>
    <t>SSGC1</t>
    <phoneticPr fontId="2" type="noConversion"/>
  </si>
  <si>
    <t>SSPC2</t>
    <phoneticPr fontId="2" type="noConversion"/>
  </si>
  <si>
    <t>SSGDW</t>
    <phoneticPr fontId="2" type="noConversion"/>
  </si>
  <si>
    <t>SSPDW</t>
    <phoneticPr fontId="2" type="noConversion"/>
  </si>
  <si>
    <t>SSGDM</t>
    <phoneticPr fontId="2" type="noConversion"/>
  </si>
  <si>
    <t>SSPDM</t>
    <phoneticPr fontId="2" type="noConversion"/>
  </si>
  <si>
    <t>SSGEW</t>
    <phoneticPr fontId="2" type="noConversion"/>
  </si>
  <si>
    <t>SSPEW</t>
    <phoneticPr fontId="2" type="noConversion"/>
  </si>
  <si>
    <t>SSGEM</t>
    <phoneticPr fontId="2" type="noConversion"/>
  </si>
  <si>
    <t>SSPEM</t>
    <phoneticPr fontId="2" type="noConversion"/>
  </si>
  <si>
    <t>Store 구독 - 일반 생성</t>
    <phoneticPr fontId="2" type="noConversion"/>
  </si>
  <si>
    <t>Store 구독 - 프리미엄 생성</t>
    <phoneticPr fontId="2" type="noConversion"/>
  </si>
  <si>
    <t>Store 구독 - 일반 1주일 노출</t>
    <phoneticPr fontId="2" type="noConversion"/>
  </si>
  <si>
    <t>Store 구독 - 프리미엄 1주일 노출</t>
    <phoneticPr fontId="2" type="noConversion"/>
  </si>
  <si>
    <t>Store 구독 - 일반 1개월 노출</t>
    <phoneticPr fontId="2" type="noConversion"/>
  </si>
  <si>
    <t>Store 구독 - 프리미엄 1개월 노출</t>
    <phoneticPr fontId="2" type="noConversion"/>
  </si>
  <si>
    <t>Store 구독 - 일반 1주일 연장</t>
    <phoneticPr fontId="2" type="noConversion"/>
  </si>
  <si>
    <t>Store 구독 - 프리미엄 1주일 연장</t>
    <phoneticPr fontId="2" type="noConversion"/>
  </si>
  <si>
    <t>Store 구독 - 일반 생성,  개수 제한 없음</t>
  </si>
  <si>
    <t>Store 구독 - 프리미엄 생성, 개수 제한 없음</t>
  </si>
  <si>
    <t>Store 구독 - 일반 노출,  1주일</t>
  </si>
  <si>
    <t>Store 구독 - 프리미엄 노출, 1주일</t>
  </si>
  <si>
    <t>Store 구독 - 일반 노출,  1개월</t>
  </si>
  <si>
    <t>Store 구독 - 프리미엄 노출, 1개월</t>
  </si>
  <si>
    <t>Store 구독 - 일반 1개월 연장</t>
    <phoneticPr fontId="2" type="noConversion"/>
  </si>
  <si>
    <t>Store 구독 - 프리미엄 1개월 연장</t>
    <phoneticPr fontId="2" type="noConversion"/>
  </si>
  <si>
    <t>Store 구독 - 일반 연장,  1주일</t>
    <phoneticPr fontId="2" type="noConversion"/>
  </si>
  <si>
    <t>Store 구독 - 프리미엄 연장, 1주일</t>
    <phoneticPr fontId="2" type="noConversion"/>
  </si>
  <si>
    <t>Store 구독 - 프리미엄 연장, 1개월</t>
    <phoneticPr fontId="2" type="noConversion"/>
  </si>
  <si>
    <t>Store 구독 - 일반 연장,  1개월</t>
    <phoneticPr fontId="2" type="noConversion"/>
  </si>
  <si>
    <t>Store 일반 - 프리미엄 1개월 연장</t>
    <phoneticPr fontId="2" type="noConversion"/>
  </si>
  <si>
    <t>Store 일반 - 일반 1개월 연장</t>
    <phoneticPr fontId="2" type="noConversion"/>
  </si>
  <si>
    <t>구독구분</t>
    <phoneticPr fontId="2" type="noConversion"/>
  </si>
  <si>
    <t>카페구독</t>
    <phoneticPr fontId="2" type="noConversion"/>
  </si>
  <si>
    <t>스토어구독</t>
    <phoneticPr fontId="2" type="noConversion"/>
  </si>
  <si>
    <t>자동번역구독</t>
    <phoneticPr fontId="2" type="noConversion"/>
  </si>
  <si>
    <t>카페일반</t>
    <phoneticPr fontId="2" type="noConversion"/>
  </si>
  <si>
    <t>스토어일반</t>
    <phoneticPr fontId="2" type="noConversion"/>
  </si>
  <si>
    <t>PiStore구독서비스(Small형)</t>
    <phoneticPr fontId="2" type="noConversion"/>
  </si>
  <si>
    <t>PiStore구독서비스(Large형)</t>
    <phoneticPr fontId="2" type="noConversion"/>
  </si>
  <si>
    <t>PiStore구독서비스(Medium형)</t>
    <phoneticPr fontId="2" type="noConversion"/>
  </si>
  <si>
    <t>일반요금제</t>
  </si>
  <si>
    <t>일반요금제</t>
    <phoneticPr fontId="2" type="noConversion"/>
  </si>
  <si>
    <t>년단위 상품 50개 이하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</si>
</sst>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[$₩-412]* #,##0_-;\-[$₩-412]* #,##0_-;_-[$₩-412]* &quot;-&quot;??_-;_-@_-"/>
    <numFmt numFmtId="177" formatCode="_-[$₱-464]* #,##0.00_-;\-[$₱-464]* #,##0.00_-;_-[$₱-464]* &quot;-&quot;??_-;_-@_-"/>
    <numFmt numFmtId="178" formatCode="_-[$₿]\ * #,##0_-;\-[$₿]\ * #,##0_-;_-[$₿]\ * &quot;-&quot;??????_-;_-@_-" x16r2:formatCode16="_-[$₿-x-xbt2]\ * #,##0_-;\-[$₿-x-xbt2]\ * #,##0_-;_-[$₿-x-xbt2]\ * &quot;-&quot;??????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8" fontId="0" fillId="0" borderId="1" xfId="1" applyNumberFormat="1" applyFont="1" applyBorder="1" applyAlignment="1">
      <alignment horizontal="center" vertical="center"/>
    </xf>
    <xf numFmtId="178" fontId="0" fillId="0" borderId="1" xfId="1" applyNumberFormat="1" applyFont="1" applyBorder="1">
      <alignment vertical="center"/>
    </xf>
    <xf numFmtId="41" fontId="0" fillId="0" borderId="1" xfId="1" applyFont="1" applyBorder="1" applyAlignment="1">
      <alignment horizontal="left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 applyAlignment="1">
      <alignment horizontal="right" vertical="center"/>
    </xf>
    <xf numFmtId="41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left" vertical="center"/>
    </xf>
    <xf numFmtId="41" fontId="0" fillId="0" borderId="1" xfId="1" applyFont="1" applyFill="1" applyBorder="1" applyAlignment="1">
      <alignment horizontal="center" vertical="center"/>
    </xf>
    <xf numFmtId="178" fontId="0" fillId="0" borderId="1" xfId="1" applyNumberFormat="1" applyFont="1" applyFill="1" applyBorder="1">
      <alignment vertical="center"/>
    </xf>
    <xf numFmtId="41" fontId="0" fillId="0" borderId="1" xfId="1" applyFont="1" applyFill="1" applyBorder="1">
      <alignment vertical="center"/>
    </xf>
    <xf numFmtId="0" fontId="0" fillId="0" borderId="1" xfId="0" applyBorder="1">
      <alignment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5" xfId="1" applyFont="1" applyBorder="1" applyAlignment="1">
      <alignment horizontal="left" vertical="center"/>
    </xf>
    <xf numFmtId="178" fontId="0" fillId="0" borderId="5" xfId="1" applyNumberFormat="1" applyFont="1" applyBorder="1" applyAlignment="1">
      <alignment horizontal="center" vertical="center"/>
    </xf>
    <xf numFmtId="41" fontId="0" fillId="0" borderId="6" xfId="1" applyFont="1" applyBorder="1" applyAlignment="1">
      <alignment horizontal="left" vertical="center"/>
    </xf>
    <xf numFmtId="41" fontId="0" fillId="0" borderId="7" xfId="1" applyFont="1" applyBorder="1" applyAlignment="1">
      <alignment horizontal="center" vertical="center"/>
    </xf>
    <xf numFmtId="41" fontId="0" fillId="0" borderId="8" xfId="1" applyFont="1" applyBorder="1" applyAlignment="1">
      <alignment horizontal="left" vertical="center"/>
    </xf>
    <xf numFmtId="41" fontId="0" fillId="0" borderId="9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 applyAlignment="1">
      <alignment horizontal="left" vertical="center"/>
    </xf>
    <xf numFmtId="41" fontId="0" fillId="0" borderId="10" xfId="1" applyFont="1" applyFill="1" applyBorder="1" applyAlignment="1">
      <alignment horizontal="center" vertical="center"/>
    </xf>
    <xf numFmtId="178" fontId="0" fillId="0" borderId="10" xfId="1" applyNumberFormat="1" applyFont="1" applyBorder="1">
      <alignment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Fill="1" applyBorder="1" applyAlignment="1">
      <alignment horizontal="left" vertical="center"/>
    </xf>
    <xf numFmtId="178" fontId="0" fillId="0" borderId="5" xfId="1" applyNumberFormat="1" applyFont="1" applyFill="1" applyBorder="1">
      <alignment vertical="center"/>
    </xf>
    <xf numFmtId="41" fontId="0" fillId="0" borderId="5" xfId="1" applyFont="1" applyFill="1" applyBorder="1">
      <alignment vertical="center"/>
    </xf>
    <xf numFmtId="41" fontId="0" fillId="0" borderId="6" xfId="1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41" fontId="0" fillId="0" borderId="8" xfId="1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Fill="1" applyBorder="1" applyAlignment="1">
      <alignment horizontal="left" vertical="center"/>
    </xf>
    <xf numFmtId="178" fontId="0" fillId="0" borderId="10" xfId="1" applyNumberFormat="1" applyFont="1" applyFill="1" applyBorder="1">
      <alignment vertical="center"/>
    </xf>
    <xf numFmtId="41" fontId="0" fillId="0" borderId="10" xfId="1" applyFont="1" applyFill="1" applyBorder="1">
      <alignment vertical="center"/>
    </xf>
    <xf numFmtId="41" fontId="0" fillId="0" borderId="11" xfId="1" applyFont="1" applyFill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1" fontId="3" fillId="2" borderId="12" xfId="1" applyFont="1" applyFill="1" applyBorder="1" applyAlignment="1">
      <alignment horizontal="center" vertical="center"/>
    </xf>
    <xf numFmtId="41" fontId="3" fillId="2" borderId="13" xfId="1" applyFont="1" applyFill="1" applyBorder="1" applyAlignment="1">
      <alignment horizontal="center" vertical="center"/>
    </xf>
    <xf numFmtId="41" fontId="3" fillId="2" borderId="14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78" fontId="0" fillId="3" borderId="1" xfId="1" applyNumberFormat="1" applyFont="1" applyFill="1" applyBorder="1">
      <alignment vertical="center"/>
    </xf>
    <xf numFmtId="41" fontId="0" fillId="3" borderId="1" xfId="1" applyFont="1" applyFill="1" applyBorder="1">
      <alignment vertical="center"/>
    </xf>
    <xf numFmtId="0" fontId="0" fillId="3" borderId="8" xfId="0" applyFill="1" applyBorder="1">
      <alignment vertical="center"/>
    </xf>
    <xf numFmtId="0" fontId="0" fillId="3" borderId="0" xfId="0" applyFill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178" fontId="0" fillId="4" borderId="1" xfId="1" applyNumberFormat="1" applyFont="1" applyFill="1" applyBorder="1">
      <alignment vertical="center"/>
    </xf>
    <xf numFmtId="41" fontId="0" fillId="4" borderId="1" xfId="1" applyFont="1" applyFill="1" applyBorder="1">
      <alignment vertical="center"/>
    </xf>
    <xf numFmtId="0" fontId="0" fillId="4" borderId="8" xfId="0" applyFill="1" applyBorder="1">
      <alignment vertical="center"/>
    </xf>
    <xf numFmtId="0" fontId="0" fillId="4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8B5D-F302-4AED-A0B3-FAE616B4023C}">
  <dimension ref="A1:H43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D2" sqref="D2"/>
    </sheetView>
  </sheetViews>
  <sheetFormatPr defaultRowHeight="17.399999999999999" x14ac:dyDescent="0.4"/>
  <cols>
    <col min="1" max="1" width="12" style="1" bestFit="1" customWidth="1"/>
    <col min="2" max="2" width="15.5" style="1" customWidth="1"/>
    <col min="3" max="3" width="17.796875" style="57" customWidth="1"/>
    <col min="4" max="4" width="31.69921875" customWidth="1"/>
    <col min="5" max="5" width="17.796875" style="1" bestFit="1" customWidth="1"/>
    <col min="6" max="6" width="15.8984375" bestFit="1" customWidth="1"/>
    <col min="7" max="7" width="12.796875" customWidth="1"/>
    <col min="8" max="8" width="64.59765625" customWidth="1"/>
  </cols>
  <sheetData>
    <row r="1" spans="1:8" ht="18" thickBot="1" x14ac:dyDescent="0.45">
      <c r="A1" s="58" t="s">
        <v>42</v>
      </c>
      <c r="B1" s="59" t="s">
        <v>161</v>
      </c>
      <c r="C1" s="59" t="s">
        <v>41</v>
      </c>
      <c r="D1" s="59" t="s">
        <v>35</v>
      </c>
      <c r="E1" s="59" t="s">
        <v>64</v>
      </c>
      <c r="F1" s="59" t="s">
        <v>2</v>
      </c>
      <c r="G1" s="59" t="s">
        <v>71</v>
      </c>
      <c r="H1" s="60" t="s">
        <v>63</v>
      </c>
    </row>
    <row r="2" spans="1:8" x14ac:dyDescent="0.4">
      <c r="A2" s="21" t="s">
        <v>44</v>
      </c>
      <c r="B2" s="22" t="s">
        <v>33</v>
      </c>
      <c r="C2" s="23" t="s">
        <v>162</v>
      </c>
      <c r="D2" s="23" t="s">
        <v>0</v>
      </c>
      <c r="E2" s="22" t="s">
        <v>55</v>
      </c>
      <c r="F2" s="24">
        <v>3000</v>
      </c>
      <c r="G2" s="22">
        <v>0</v>
      </c>
      <c r="H2" s="25" t="s">
        <v>56</v>
      </c>
    </row>
    <row r="3" spans="1:8" x14ac:dyDescent="0.4">
      <c r="A3" s="26" t="s">
        <v>49</v>
      </c>
      <c r="B3" s="5" t="s">
        <v>32</v>
      </c>
      <c r="C3" s="11" t="s">
        <v>162</v>
      </c>
      <c r="D3" s="11" t="s">
        <v>0</v>
      </c>
      <c r="E3" s="17" t="s">
        <v>54</v>
      </c>
      <c r="F3" s="10">
        <v>30000</v>
      </c>
      <c r="G3" s="6">
        <v>0</v>
      </c>
      <c r="H3" s="27" t="s">
        <v>60</v>
      </c>
    </row>
    <row r="4" spans="1:8" x14ac:dyDescent="0.4">
      <c r="A4" s="26" t="s">
        <v>45</v>
      </c>
      <c r="B4" s="5" t="s">
        <v>32</v>
      </c>
      <c r="C4" s="11" t="s">
        <v>163</v>
      </c>
      <c r="D4" s="11" t="s">
        <v>167</v>
      </c>
      <c r="E4" s="5" t="s">
        <v>55</v>
      </c>
      <c r="F4" s="9">
        <v>3000</v>
      </c>
      <c r="G4" s="5">
        <v>0</v>
      </c>
      <c r="H4" s="27" t="s">
        <v>57</v>
      </c>
    </row>
    <row r="5" spans="1:8" x14ac:dyDescent="0.4">
      <c r="A5" s="26" t="s">
        <v>46</v>
      </c>
      <c r="B5" s="5" t="s">
        <v>32</v>
      </c>
      <c r="C5" s="11" t="s">
        <v>163</v>
      </c>
      <c r="D5" s="11" t="s">
        <v>169</v>
      </c>
      <c r="E5" s="5" t="s">
        <v>55</v>
      </c>
      <c r="F5" s="9">
        <v>4000</v>
      </c>
      <c r="G5" s="5">
        <v>0</v>
      </c>
      <c r="H5" s="27" t="s">
        <v>58</v>
      </c>
    </row>
    <row r="6" spans="1:8" x14ac:dyDescent="0.4">
      <c r="A6" s="26" t="s">
        <v>47</v>
      </c>
      <c r="B6" s="5" t="s">
        <v>32</v>
      </c>
      <c r="C6" s="11" t="s">
        <v>163</v>
      </c>
      <c r="D6" s="11" t="s">
        <v>168</v>
      </c>
      <c r="E6" s="5" t="s">
        <v>55</v>
      </c>
      <c r="F6" s="9">
        <v>5000</v>
      </c>
      <c r="G6" s="5">
        <v>0</v>
      </c>
      <c r="H6" s="27" t="s">
        <v>59</v>
      </c>
    </row>
    <row r="7" spans="1:8" x14ac:dyDescent="0.4">
      <c r="A7" s="26" t="s">
        <v>50</v>
      </c>
      <c r="B7" s="5" t="s">
        <v>32</v>
      </c>
      <c r="C7" s="11" t="s">
        <v>163</v>
      </c>
      <c r="D7" s="11" t="s">
        <v>167</v>
      </c>
      <c r="E7" s="17" t="s">
        <v>54</v>
      </c>
      <c r="F7" s="10">
        <v>30000</v>
      </c>
      <c r="G7" s="6">
        <v>0</v>
      </c>
      <c r="H7" s="27" t="s">
        <v>61</v>
      </c>
    </row>
    <row r="8" spans="1:8" x14ac:dyDescent="0.4">
      <c r="A8" s="26" t="s">
        <v>51</v>
      </c>
      <c r="B8" s="5" t="s">
        <v>32</v>
      </c>
      <c r="C8" s="11" t="s">
        <v>163</v>
      </c>
      <c r="D8" s="11" t="s">
        <v>169</v>
      </c>
      <c r="E8" s="17" t="s">
        <v>54</v>
      </c>
      <c r="F8" s="10">
        <v>40000</v>
      </c>
      <c r="G8" s="6">
        <v>0</v>
      </c>
      <c r="H8" s="27" t="s">
        <v>172</v>
      </c>
    </row>
    <row r="9" spans="1:8" x14ac:dyDescent="0.4">
      <c r="A9" s="26" t="s">
        <v>52</v>
      </c>
      <c r="B9" s="5" t="s">
        <v>32</v>
      </c>
      <c r="C9" s="11" t="s">
        <v>163</v>
      </c>
      <c r="D9" s="11" t="s">
        <v>168</v>
      </c>
      <c r="E9" s="17" t="s">
        <v>54</v>
      </c>
      <c r="F9" s="10">
        <v>50000</v>
      </c>
      <c r="G9" s="6">
        <v>0</v>
      </c>
      <c r="H9" s="27" t="s">
        <v>62</v>
      </c>
    </row>
    <row r="10" spans="1:8" x14ac:dyDescent="0.4">
      <c r="A10" s="26" t="s">
        <v>48</v>
      </c>
      <c r="B10" s="5" t="s">
        <v>32</v>
      </c>
      <c r="C10" s="11" t="s">
        <v>164</v>
      </c>
      <c r="D10" s="11" t="s">
        <v>12</v>
      </c>
      <c r="E10" s="5" t="s">
        <v>55</v>
      </c>
      <c r="F10" s="9">
        <v>1000</v>
      </c>
      <c r="G10" s="5">
        <v>0</v>
      </c>
      <c r="H10" s="27" t="s">
        <v>56</v>
      </c>
    </row>
    <row r="11" spans="1:8" ht="18" thickBot="1" x14ac:dyDescent="0.45">
      <c r="A11" s="28" t="s">
        <v>53</v>
      </c>
      <c r="B11" s="29" t="s">
        <v>32</v>
      </c>
      <c r="C11" s="30" t="s">
        <v>164</v>
      </c>
      <c r="D11" s="30" t="s">
        <v>12</v>
      </c>
      <c r="E11" s="31" t="s">
        <v>54</v>
      </c>
      <c r="F11" s="32">
        <v>10000</v>
      </c>
      <c r="G11" s="33">
        <v>0</v>
      </c>
      <c r="H11" s="34" t="s">
        <v>60</v>
      </c>
    </row>
    <row r="12" spans="1:8" x14ac:dyDescent="0.4">
      <c r="A12" s="35" t="s">
        <v>75</v>
      </c>
      <c r="B12" s="36" t="s">
        <v>171</v>
      </c>
      <c r="C12" s="54" t="s">
        <v>165</v>
      </c>
      <c r="D12" s="37" t="s">
        <v>67</v>
      </c>
      <c r="E12" s="36">
        <v>1</v>
      </c>
      <c r="F12" s="38">
        <v>0</v>
      </c>
      <c r="G12" s="39">
        <v>1</v>
      </c>
      <c r="H12" s="40" t="s">
        <v>72</v>
      </c>
    </row>
    <row r="13" spans="1:8" x14ac:dyDescent="0.4">
      <c r="A13" s="41" t="s">
        <v>76</v>
      </c>
      <c r="B13" s="4" t="s">
        <v>170</v>
      </c>
      <c r="C13" s="55" t="s">
        <v>165</v>
      </c>
      <c r="D13" s="16" t="s">
        <v>66</v>
      </c>
      <c r="E13" s="4">
        <v>1</v>
      </c>
      <c r="F13" s="18">
        <v>10</v>
      </c>
      <c r="G13" s="19">
        <v>1</v>
      </c>
      <c r="H13" s="42" t="s">
        <v>73</v>
      </c>
    </row>
    <row r="14" spans="1:8" x14ac:dyDescent="0.4">
      <c r="A14" s="41" t="s">
        <v>77</v>
      </c>
      <c r="B14" s="4" t="s">
        <v>170</v>
      </c>
      <c r="C14" s="55" t="s">
        <v>165</v>
      </c>
      <c r="D14" s="16" t="s">
        <v>65</v>
      </c>
      <c r="E14" s="4">
        <v>1</v>
      </c>
      <c r="F14" s="18">
        <v>20</v>
      </c>
      <c r="G14" s="19">
        <v>1</v>
      </c>
      <c r="H14" s="42" t="s">
        <v>74</v>
      </c>
    </row>
    <row r="15" spans="1:8" x14ac:dyDescent="0.4">
      <c r="A15" s="41" t="s">
        <v>78</v>
      </c>
      <c r="B15" s="4" t="s">
        <v>170</v>
      </c>
      <c r="C15" s="55" t="s">
        <v>165</v>
      </c>
      <c r="D15" s="16" t="s">
        <v>68</v>
      </c>
      <c r="E15" s="4">
        <v>1</v>
      </c>
      <c r="F15" s="18">
        <v>0</v>
      </c>
      <c r="G15" s="19">
        <v>1</v>
      </c>
      <c r="H15" s="42" t="s">
        <v>81</v>
      </c>
    </row>
    <row r="16" spans="1:8" x14ac:dyDescent="0.4">
      <c r="A16" s="41" t="s">
        <v>79</v>
      </c>
      <c r="B16" s="4" t="s">
        <v>170</v>
      </c>
      <c r="C16" s="55" t="s">
        <v>165</v>
      </c>
      <c r="D16" s="16" t="s">
        <v>69</v>
      </c>
      <c r="E16" s="4">
        <v>1</v>
      </c>
      <c r="F16" s="18">
        <v>10</v>
      </c>
      <c r="G16" s="19">
        <v>1</v>
      </c>
      <c r="H16" s="42" t="s">
        <v>82</v>
      </c>
    </row>
    <row r="17" spans="1:8" x14ac:dyDescent="0.4">
      <c r="A17" s="41" t="s">
        <v>80</v>
      </c>
      <c r="B17" s="4" t="s">
        <v>170</v>
      </c>
      <c r="C17" s="55" t="s">
        <v>165</v>
      </c>
      <c r="D17" s="16" t="s">
        <v>70</v>
      </c>
      <c r="E17" s="4">
        <v>1</v>
      </c>
      <c r="F17" s="18">
        <v>20</v>
      </c>
      <c r="G17" s="19">
        <v>1</v>
      </c>
      <c r="H17" s="42" t="s">
        <v>83</v>
      </c>
    </row>
    <row r="18" spans="1:8" x14ac:dyDescent="0.4">
      <c r="A18" s="41" t="s">
        <v>84</v>
      </c>
      <c r="B18" s="4" t="s">
        <v>170</v>
      </c>
      <c r="C18" s="55" t="s">
        <v>162</v>
      </c>
      <c r="D18" s="16" t="s">
        <v>120</v>
      </c>
      <c r="E18" s="4">
        <v>1</v>
      </c>
      <c r="F18" s="18">
        <v>0</v>
      </c>
      <c r="G18" s="19">
        <v>1</v>
      </c>
      <c r="H18" s="42" t="s">
        <v>123</v>
      </c>
    </row>
    <row r="19" spans="1:8" x14ac:dyDescent="0.4">
      <c r="A19" s="41" t="s">
        <v>85</v>
      </c>
      <c r="B19" s="4" t="s">
        <v>170</v>
      </c>
      <c r="C19" s="55" t="s">
        <v>162</v>
      </c>
      <c r="D19" s="16" t="s">
        <v>121</v>
      </c>
      <c r="E19" s="4">
        <v>1</v>
      </c>
      <c r="F19" s="18">
        <v>0</v>
      </c>
      <c r="G19" s="19">
        <v>1</v>
      </c>
      <c r="H19" s="42" t="s">
        <v>124</v>
      </c>
    </row>
    <row r="20" spans="1:8" x14ac:dyDescent="0.4">
      <c r="A20" s="41" t="s">
        <v>86</v>
      </c>
      <c r="B20" s="4" t="s">
        <v>170</v>
      </c>
      <c r="C20" s="55" t="s">
        <v>162</v>
      </c>
      <c r="D20" s="16" t="s">
        <v>122</v>
      </c>
      <c r="E20" s="4">
        <v>1</v>
      </c>
      <c r="F20" s="18">
        <v>10</v>
      </c>
      <c r="G20" s="19">
        <v>1</v>
      </c>
      <c r="H20" s="42" t="s">
        <v>125</v>
      </c>
    </row>
    <row r="21" spans="1:8" x14ac:dyDescent="0.4">
      <c r="A21" s="41" t="s">
        <v>87</v>
      </c>
      <c r="B21" s="4" t="s">
        <v>170</v>
      </c>
      <c r="C21" s="55" t="s">
        <v>162</v>
      </c>
      <c r="D21" s="16" t="s">
        <v>117</v>
      </c>
      <c r="E21" s="4">
        <v>1</v>
      </c>
      <c r="F21" s="18">
        <v>0</v>
      </c>
      <c r="G21" s="19">
        <v>1</v>
      </c>
      <c r="H21" s="42" t="s">
        <v>126</v>
      </c>
    </row>
    <row r="22" spans="1:8" x14ac:dyDescent="0.4">
      <c r="A22" s="41" t="s">
        <v>88</v>
      </c>
      <c r="B22" s="4" t="s">
        <v>171</v>
      </c>
      <c r="C22" s="55" t="s">
        <v>162</v>
      </c>
      <c r="D22" s="16" t="s">
        <v>118</v>
      </c>
      <c r="E22" s="4">
        <v>1</v>
      </c>
      <c r="F22" s="18">
        <v>0</v>
      </c>
      <c r="G22" s="19">
        <v>1</v>
      </c>
      <c r="H22" s="42" t="s">
        <v>127</v>
      </c>
    </row>
    <row r="23" spans="1:8" ht="18" thickBot="1" x14ac:dyDescent="0.45">
      <c r="A23" s="43" t="s">
        <v>89</v>
      </c>
      <c r="B23" s="44" t="s">
        <v>170</v>
      </c>
      <c r="C23" s="56" t="s">
        <v>162</v>
      </c>
      <c r="D23" s="45" t="s">
        <v>119</v>
      </c>
      <c r="E23" s="44">
        <v>1</v>
      </c>
      <c r="F23" s="46">
        <v>5</v>
      </c>
      <c r="G23" s="47">
        <v>1</v>
      </c>
      <c r="H23" s="48" t="s">
        <v>128</v>
      </c>
    </row>
    <row r="24" spans="1:8" x14ac:dyDescent="0.4">
      <c r="A24" s="35" t="s">
        <v>90</v>
      </c>
      <c r="B24" s="36" t="s">
        <v>171</v>
      </c>
      <c r="C24" s="54" t="s">
        <v>166</v>
      </c>
      <c r="D24" s="49" t="s">
        <v>92</v>
      </c>
      <c r="E24" s="36">
        <v>1</v>
      </c>
      <c r="F24" s="38">
        <v>0</v>
      </c>
      <c r="G24" s="39">
        <v>0</v>
      </c>
      <c r="H24" s="50" t="s">
        <v>94</v>
      </c>
    </row>
    <row r="25" spans="1:8" x14ac:dyDescent="0.4">
      <c r="A25" s="41" t="s">
        <v>91</v>
      </c>
      <c r="B25" s="4" t="s">
        <v>170</v>
      </c>
      <c r="C25" s="55" t="s">
        <v>166</v>
      </c>
      <c r="D25" s="20" t="s">
        <v>93</v>
      </c>
      <c r="E25" s="4">
        <v>1</v>
      </c>
      <c r="F25" s="18">
        <v>10</v>
      </c>
      <c r="G25" s="19">
        <v>0</v>
      </c>
      <c r="H25" s="53" t="s">
        <v>95</v>
      </c>
    </row>
    <row r="26" spans="1:8" x14ac:dyDescent="0.4">
      <c r="A26" s="41" t="s">
        <v>103</v>
      </c>
      <c r="B26" s="4" t="s">
        <v>170</v>
      </c>
      <c r="C26" s="55" t="s">
        <v>166</v>
      </c>
      <c r="D26" s="20" t="s">
        <v>99</v>
      </c>
      <c r="E26" s="4" t="s">
        <v>98</v>
      </c>
      <c r="F26" s="18">
        <v>5</v>
      </c>
      <c r="G26" s="19">
        <v>1</v>
      </c>
      <c r="H26" s="53" t="s">
        <v>96</v>
      </c>
    </row>
    <row r="27" spans="1:8" x14ac:dyDescent="0.4">
      <c r="A27" s="41" t="s">
        <v>104</v>
      </c>
      <c r="B27" s="4" t="s">
        <v>170</v>
      </c>
      <c r="C27" s="55" t="s">
        <v>166</v>
      </c>
      <c r="D27" s="20" t="s">
        <v>100</v>
      </c>
      <c r="E27" s="4" t="s">
        <v>98</v>
      </c>
      <c r="F27" s="18">
        <v>10</v>
      </c>
      <c r="G27" s="19">
        <v>1</v>
      </c>
      <c r="H27" s="53" t="s">
        <v>97</v>
      </c>
    </row>
    <row r="28" spans="1:8" x14ac:dyDescent="0.4">
      <c r="A28" s="41" t="s">
        <v>107</v>
      </c>
      <c r="B28" s="4" t="s">
        <v>170</v>
      </c>
      <c r="C28" s="55" t="s">
        <v>166</v>
      </c>
      <c r="D28" s="20" t="s">
        <v>109</v>
      </c>
      <c r="E28" s="4" t="s">
        <v>43</v>
      </c>
      <c r="F28" s="18">
        <v>10</v>
      </c>
      <c r="G28" s="19">
        <v>1</v>
      </c>
      <c r="H28" s="53" t="s">
        <v>111</v>
      </c>
    </row>
    <row r="29" spans="1:8" x14ac:dyDescent="0.4">
      <c r="A29" s="41" t="s">
        <v>108</v>
      </c>
      <c r="B29" s="4" t="s">
        <v>170</v>
      </c>
      <c r="C29" s="55" t="s">
        <v>166</v>
      </c>
      <c r="D29" s="20" t="s">
        <v>110</v>
      </c>
      <c r="E29" s="4" t="s">
        <v>43</v>
      </c>
      <c r="F29" s="18">
        <v>20</v>
      </c>
      <c r="G29" s="19">
        <v>1</v>
      </c>
      <c r="H29" s="53" t="s">
        <v>112</v>
      </c>
    </row>
    <row r="30" spans="1:8" x14ac:dyDescent="0.4">
      <c r="A30" s="41" t="s">
        <v>105</v>
      </c>
      <c r="B30" s="4" t="s">
        <v>170</v>
      </c>
      <c r="C30" s="55" t="s">
        <v>166</v>
      </c>
      <c r="D30" s="20" t="s">
        <v>101</v>
      </c>
      <c r="E30" s="4" t="s">
        <v>98</v>
      </c>
      <c r="F30" s="18">
        <v>5</v>
      </c>
      <c r="G30" s="19">
        <v>1</v>
      </c>
      <c r="H30" s="53" t="s">
        <v>96</v>
      </c>
    </row>
    <row r="31" spans="1:8" x14ac:dyDescent="0.4">
      <c r="A31" s="41" t="s">
        <v>106</v>
      </c>
      <c r="B31" s="4" t="s">
        <v>170</v>
      </c>
      <c r="C31" s="55" t="s">
        <v>166</v>
      </c>
      <c r="D31" s="20" t="s">
        <v>102</v>
      </c>
      <c r="E31" s="4" t="s">
        <v>98</v>
      </c>
      <c r="F31" s="18">
        <v>10</v>
      </c>
      <c r="G31" s="19">
        <v>1</v>
      </c>
      <c r="H31" s="53" t="s">
        <v>97</v>
      </c>
    </row>
    <row r="32" spans="1:8" x14ac:dyDescent="0.4">
      <c r="A32" s="41" t="s">
        <v>113</v>
      </c>
      <c r="B32" s="4" t="s">
        <v>171</v>
      </c>
      <c r="C32" s="55" t="s">
        <v>166</v>
      </c>
      <c r="D32" s="20" t="s">
        <v>160</v>
      </c>
      <c r="E32" s="4" t="s">
        <v>43</v>
      </c>
      <c r="F32" s="18">
        <v>10</v>
      </c>
      <c r="G32" s="19">
        <v>1</v>
      </c>
      <c r="H32" s="53" t="s">
        <v>116</v>
      </c>
    </row>
    <row r="33" spans="1:8" ht="18" thickBot="1" x14ac:dyDescent="0.45">
      <c r="A33" s="43" t="s">
        <v>114</v>
      </c>
      <c r="B33" s="44" t="s">
        <v>170</v>
      </c>
      <c r="C33" s="56" t="s">
        <v>166</v>
      </c>
      <c r="D33" s="51" t="s">
        <v>159</v>
      </c>
      <c r="E33" s="44" t="s">
        <v>43</v>
      </c>
      <c r="F33" s="46">
        <v>20</v>
      </c>
      <c r="G33" s="47">
        <v>1</v>
      </c>
      <c r="H33" s="52" t="s">
        <v>115</v>
      </c>
    </row>
    <row r="34" spans="1:8" x14ac:dyDescent="0.4">
      <c r="A34" s="35" t="s">
        <v>129</v>
      </c>
      <c r="B34" s="36" t="s">
        <v>171</v>
      </c>
      <c r="C34" s="54" t="s">
        <v>163</v>
      </c>
      <c r="D34" s="49" t="s">
        <v>139</v>
      </c>
      <c r="E34" s="36">
        <v>1</v>
      </c>
      <c r="F34" s="38">
        <v>0</v>
      </c>
      <c r="G34" s="39">
        <v>0</v>
      </c>
      <c r="H34" s="50" t="s">
        <v>147</v>
      </c>
    </row>
    <row r="35" spans="1:8" x14ac:dyDescent="0.4">
      <c r="A35" s="41" t="s">
        <v>130</v>
      </c>
      <c r="B35" s="4" t="s">
        <v>170</v>
      </c>
      <c r="C35" s="55" t="s">
        <v>163</v>
      </c>
      <c r="D35" s="20" t="s">
        <v>140</v>
      </c>
      <c r="E35" s="4">
        <v>1</v>
      </c>
      <c r="F35" s="18">
        <v>0</v>
      </c>
      <c r="G35" s="19">
        <v>0</v>
      </c>
      <c r="H35" s="53" t="s">
        <v>148</v>
      </c>
    </row>
    <row r="36" spans="1:8" x14ac:dyDescent="0.4">
      <c r="A36" s="41" t="s">
        <v>131</v>
      </c>
      <c r="B36" s="4" t="s">
        <v>170</v>
      </c>
      <c r="C36" s="55" t="s">
        <v>163</v>
      </c>
      <c r="D36" s="20" t="s">
        <v>141</v>
      </c>
      <c r="E36" s="4" t="s">
        <v>98</v>
      </c>
      <c r="F36" s="18">
        <v>0</v>
      </c>
      <c r="G36" s="19">
        <v>1</v>
      </c>
      <c r="H36" s="53" t="s">
        <v>149</v>
      </c>
    </row>
    <row r="37" spans="1:8" x14ac:dyDescent="0.4">
      <c r="A37" s="41" t="s">
        <v>132</v>
      </c>
      <c r="B37" s="4" t="s">
        <v>170</v>
      </c>
      <c r="C37" s="55" t="s">
        <v>163</v>
      </c>
      <c r="D37" s="20" t="s">
        <v>142</v>
      </c>
      <c r="E37" s="4" t="s">
        <v>98</v>
      </c>
      <c r="F37" s="18">
        <v>0</v>
      </c>
      <c r="G37" s="19">
        <v>1</v>
      </c>
      <c r="H37" s="53" t="s">
        <v>150</v>
      </c>
    </row>
    <row r="38" spans="1:8" s="76" customFormat="1" x14ac:dyDescent="0.4">
      <c r="A38" s="69" t="s">
        <v>133</v>
      </c>
      <c r="B38" s="70" t="s">
        <v>170</v>
      </c>
      <c r="C38" s="71" t="s">
        <v>163</v>
      </c>
      <c r="D38" s="72" t="s">
        <v>143</v>
      </c>
      <c r="E38" s="70" t="s">
        <v>43</v>
      </c>
      <c r="F38" s="73">
        <v>5</v>
      </c>
      <c r="G38" s="74">
        <v>1</v>
      </c>
      <c r="H38" s="75" t="s">
        <v>151</v>
      </c>
    </row>
    <row r="39" spans="1:8" s="68" customFormat="1" x14ac:dyDescent="0.4">
      <c r="A39" s="61" t="s">
        <v>134</v>
      </c>
      <c r="B39" s="62" t="s">
        <v>170</v>
      </c>
      <c r="C39" s="63" t="s">
        <v>163</v>
      </c>
      <c r="D39" s="64" t="s">
        <v>144</v>
      </c>
      <c r="E39" s="62" t="s">
        <v>43</v>
      </c>
      <c r="F39" s="65">
        <v>5</v>
      </c>
      <c r="G39" s="66">
        <v>1</v>
      </c>
      <c r="H39" s="67" t="s">
        <v>152</v>
      </c>
    </row>
    <row r="40" spans="1:8" x14ac:dyDescent="0.4">
      <c r="A40" s="41" t="s">
        <v>135</v>
      </c>
      <c r="B40" s="4" t="s">
        <v>170</v>
      </c>
      <c r="C40" s="55" t="s">
        <v>163</v>
      </c>
      <c r="D40" s="20" t="s">
        <v>145</v>
      </c>
      <c r="E40" s="4" t="s">
        <v>98</v>
      </c>
      <c r="F40" s="18">
        <v>5</v>
      </c>
      <c r="G40" s="19">
        <v>1</v>
      </c>
      <c r="H40" s="53" t="s">
        <v>155</v>
      </c>
    </row>
    <row r="41" spans="1:8" x14ac:dyDescent="0.4">
      <c r="A41" s="41" t="s">
        <v>136</v>
      </c>
      <c r="B41" s="4" t="s">
        <v>170</v>
      </c>
      <c r="C41" s="55" t="s">
        <v>163</v>
      </c>
      <c r="D41" s="20" t="s">
        <v>146</v>
      </c>
      <c r="E41" s="4" t="s">
        <v>98</v>
      </c>
      <c r="F41" s="18">
        <v>5</v>
      </c>
      <c r="G41" s="19">
        <v>1</v>
      </c>
      <c r="H41" s="53" t="s">
        <v>156</v>
      </c>
    </row>
    <row r="42" spans="1:8" x14ac:dyDescent="0.4">
      <c r="A42" s="41" t="s">
        <v>137</v>
      </c>
      <c r="B42" s="4" t="s">
        <v>171</v>
      </c>
      <c r="C42" s="55" t="s">
        <v>163</v>
      </c>
      <c r="D42" s="20" t="s">
        <v>153</v>
      </c>
      <c r="E42" s="4" t="s">
        <v>43</v>
      </c>
      <c r="F42" s="18">
        <v>10</v>
      </c>
      <c r="G42" s="19">
        <v>1</v>
      </c>
      <c r="H42" s="53" t="s">
        <v>158</v>
      </c>
    </row>
    <row r="43" spans="1:8" ht="18" thickBot="1" x14ac:dyDescent="0.45">
      <c r="A43" s="43" t="s">
        <v>138</v>
      </c>
      <c r="B43" s="44" t="s">
        <v>170</v>
      </c>
      <c r="C43" s="56" t="s">
        <v>163</v>
      </c>
      <c r="D43" s="51" t="s">
        <v>154</v>
      </c>
      <c r="E43" s="44" t="s">
        <v>43</v>
      </c>
      <c r="F43" s="46">
        <v>10</v>
      </c>
      <c r="G43" s="47">
        <v>1</v>
      </c>
      <c r="H43" s="52" t="s">
        <v>157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5852-EF25-421D-9D8B-61416FAC9816}">
  <dimension ref="B2:F8"/>
  <sheetViews>
    <sheetView workbookViewId="0">
      <selection activeCell="D18" sqref="D18"/>
    </sheetView>
  </sheetViews>
  <sheetFormatPr defaultRowHeight="17.399999999999999" x14ac:dyDescent="0.4"/>
  <cols>
    <col min="1" max="1" width="1.8984375" customWidth="1"/>
    <col min="2" max="2" width="21.09765625" style="2" bestFit="1" customWidth="1"/>
    <col min="3" max="4" width="18" style="2" customWidth="1"/>
    <col min="5" max="5" width="18" customWidth="1"/>
    <col min="6" max="6" width="18" style="2" customWidth="1"/>
  </cols>
  <sheetData>
    <row r="2" spans="2:6" x14ac:dyDescent="0.4">
      <c r="B2" s="12" t="s">
        <v>34</v>
      </c>
      <c r="C2" s="3"/>
      <c r="E2" s="2"/>
      <c r="F2" s="13" t="s">
        <v>36</v>
      </c>
    </row>
    <row r="3" spans="2:6" ht="27.6" customHeight="1" x14ac:dyDescent="0.4">
      <c r="B3" s="14" t="s">
        <v>35</v>
      </c>
      <c r="C3" s="14" t="s">
        <v>1</v>
      </c>
      <c r="D3" s="14" t="s">
        <v>2</v>
      </c>
      <c r="E3" s="15" t="s">
        <v>15</v>
      </c>
      <c r="F3" s="14" t="s">
        <v>24</v>
      </c>
    </row>
    <row r="4" spans="2:6" x14ac:dyDescent="0.4">
      <c r="B4" s="11" t="s">
        <v>0</v>
      </c>
      <c r="C4" s="8">
        <v>30</v>
      </c>
      <c r="D4" s="9">
        <f>C4*100</f>
        <v>3000</v>
      </c>
      <c r="E4" s="10">
        <v>30000</v>
      </c>
      <c r="F4" s="11" t="s">
        <v>25</v>
      </c>
    </row>
    <row r="5" spans="2:6" x14ac:dyDescent="0.4">
      <c r="B5" s="11" t="s">
        <v>21</v>
      </c>
      <c r="C5" s="8">
        <v>30</v>
      </c>
      <c r="D5" s="9">
        <f t="shared" ref="D5" si="0">C5*100</f>
        <v>3000</v>
      </c>
      <c r="E5" s="10">
        <v>30000</v>
      </c>
      <c r="F5" s="11" t="s">
        <v>20</v>
      </c>
    </row>
    <row r="6" spans="2:6" x14ac:dyDescent="0.4">
      <c r="B6" s="11" t="s">
        <v>22</v>
      </c>
      <c r="C6" s="8">
        <v>40</v>
      </c>
      <c r="D6" s="9">
        <f t="shared" ref="D6:D7" si="1">C6*100</f>
        <v>4000</v>
      </c>
      <c r="E6" s="10">
        <v>40000</v>
      </c>
      <c r="F6" s="11" t="s">
        <v>18</v>
      </c>
    </row>
    <row r="7" spans="2:6" x14ac:dyDescent="0.4">
      <c r="B7" s="11" t="s">
        <v>23</v>
      </c>
      <c r="C7" s="8">
        <v>50</v>
      </c>
      <c r="D7" s="9">
        <f t="shared" si="1"/>
        <v>5000</v>
      </c>
      <c r="E7" s="10">
        <v>50000</v>
      </c>
      <c r="F7" s="11" t="s">
        <v>19</v>
      </c>
    </row>
    <row r="8" spans="2:6" x14ac:dyDescent="0.4">
      <c r="B8" s="11" t="s">
        <v>12</v>
      </c>
      <c r="C8" s="8">
        <v>10</v>
      </c>
      <c r="D8" s="9">
        <v>1000</v>
      </c>
      <c r="E8" s="10">
        <v>10000</v>
      </c>
      <c r="F8" s="11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CAA-AE1F-4052-9355-FBCB966A03C2}">
  <dimension ref="B3:J9"/>
  <sheetViews>
    <sheetView workbookViewId="0">
      <selection activeCell="F13" sqref="F13"/>
    </sheetView>
  </sheetViews>
  <sheetFormatPr defaultRowHeight="17.399999999999999" x14ac:dyDescent="0.4"/>
  <cols>
    <col min="1" max="1" width="4.59765625" customWidth="1"/>
    <col min="2" max="2" width="13.69921875" style="1" customWidth="1"/>
    <col min="3" max="10" width="11.296875" style="1" customWidth="1"/>
  </cols>
  <sheetData>
    <row r="3" spans="2:10" x14ac:dyDescent="0.4">
      <c r="B3" s="77"/>
      <c r="C3" s="77" t="s">
        <v>27</v>
      </c>
      <c r="D3" s="77"/>
      <c r="E3" s="77"/>
      <c r="F3" s="77" t="s">
        <v>26</v>
      </c>
      <c r="G3" s="77"/>
      <c r="H3" s="77"/>
      <c r="I3" s="78" t="s">
        <v>13</v>
      </c>
      <c r="J3" s="78" t="s">
        <v>14</v>
      </c>
    </row>
    <row r="4" spans="2:10" x14ac:dyDescent="0.4">
      <c r="B4" s="77"/>
      <c r="C4" s="7" t="s">
        <v>4</v>
      </c>
      <c r="D4" s="7" t="s">
        <v>5</v>
      </c>
      <c r="E4" s="7" t="s">
        <v>6</v>
      </c>
      <c r="F4" s="7" t="s">
        <v>4</v>
      </c>
      <c r="G4" s="7" t="s">
        <v>5</v>
      </c>
      <c r="H4" s="7" t="s">
        <v>6</v>
      </c>
      <c r="I4" s="79"/>
      <c r="J4" s="79"/>
    </row>
    <row r="5" spans="2:10" ht="34.799999999999997" customHeight="1" x14ac:dyDescent="0.4">
      <c r="B5" s="4" t="s">
        <v>28</v>
      </c>
      <c r="C5" s="4" t="s">
        <v>7</v>
      </c>
      <c r="D5" s="4" t="s">
        <v>8</v>
      </c>
      <c r="E5" s="4" t="s">
        <v>10</v>
      </c>
      <c r="F5" s="4" t="s">
        <v>7</v>
      </c>
      <c r="G5" s="4" t="s">
        <v>9</v>
      </c>
      <c r="H5" s="4" t="s">
        <v>8</v>
      </c>
      <c r="I5" s="4" t="s">
        <v>11</v>
      </c>
      <c r="J5" s="4" t="s">
        <v>7</v>
      </c>
    </row>
    <row r="7" spans="2:10" x14ac:dyDescent="0.4">
      <c r="B7" s="77"/>
      <c r="C7" s="77" t="s">
        <v>30</v>
      </c>
      <c r="D7" s="77"/>
      <c r="E7" s="77"/>
      <c r="F7" s="77" t="s">
        <v>31</v>
      </c>
      <c r="G7" s="77"/>
      <c r="H7" s="77"/>
      <c r="I7" s="78" t="s">
        <v>13</v>
      </c>
      <c r="J7" s="78" t="s">
        <v>14</v>
      </c>
    </row>
    <row r="8" spans="2:10" x14ac:dyDescent="0.4">
      <c r="B8" s="77"/>
      <c r="C8" s="7" t="s">
        <v>4</v>
      </c>
      <c r="D8" s="7" t="s">
        <v>5</v>
      </c>
      <c r="E8" s="7" t="s">
        <v>6</v>
      </c>
      <c r="F8" s="7" t="s">
        <v>4</v>
      </c>
      <c r="G8" s="7" t="s">
        <v>5</v>
      </c>
      <c r="H8" s="7" t="s">
        <v>6</v>
      </c>
      <c r="I8" s="79"/>
      <c r="J8" s="79"/>
    </row>
    <row r="9" spans="2:10" ht="34.799999999999997" customHeight="1" x14ac:dyDescent="0.4">
      <c r="B9" s="4" t="s">
        <v>29</v>
      </c>
      <c r="C9" s="4" t="s">
        <v>7</v>
      </c>
      <c r="D9" s="4" t="s">
        <v>7</v>
      </c>
      <c r="E9" s="4" t="s">
        <v>8</v>
      </c>
      <c r="F9" s="4" t="s">
        <v>7</v>
      </c>
      <c r="G9" s="4" t="s">
        <v>7</v>
      </c>
      <c r="H9" s="4" t="s">
        <v>9</v>
      </c>
      <c r="I9" s="4" t="s">
        <v>11</v>
      </c>
      <c r="J9" s="4" t="s">
        <v>7</v>
      </c>
    </row>
  </sheetData>
  <mergeCells count="10">
    <mergeCell ref="C3:E3"/>
    <mergeCell ref="F3:H3"/>
    <mergeCell ref="B3:B4"/>
    <mergeCell ref="I3:I4"/>
    <mergeCell ref="J3:J4"/>
    <mergeCell ref="B7:B8"/>
    <mergeCell ref="C7:E7"/>
    <mergeCell ref="F7:H7"/>
    <mergeCell ref="I7:I8"/>
    <mergeCell ref="J7:J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685E-56DF-4AFD-8AA5-EE317D655A35}">
  <dimension ref="B3:I9"/>
  <sheetViews>
    <sheetView workbookViewId="0">
      <selection activeCell="J14" sqref="J14"/>
    </sheetView>
  </sheetViews>
  <sheetFormatPr defaultRowHeight="17.399999999999999" x14ac:dyDescent="0.4"/>
  <cols>
    <col min="2" max="2" width="12.19921875" style="1" customWidth="1"/>
    <col min="3" max="9" width="11.296875" style="1" customWidth="1"/>
  </cols>
  <sheetData>
    <row r="3" spans="2:9" x14ac:dyDescent="0.4">
      <c r="B3" s="77" t="s">
        <v>38</v>
      </c>
      <c r="C3" s="77" t="s">
        <v>3</v>
      </c>
      <c r="D3" s="77"/>
      <c r="E3" s="77" t="s">
        <v>16</v>
      </c>
      <c r="F3" s="77"/>
      <c r="G3" s="77" t="s">
        <v>17</v>
      </c>
      <c r="H3" s="77"/>
      <c r="I3" s="7" t="s">
        <v>37</v>
      </c>
    </row>
    <row r="4" spans="2:9" x14ac:dyDescent="0.4">
      <c r="B4" s="77"/>
      <c r="C4" s="7" t="s">
        <v>4</v>
      </c>
      <c r="D4" s="7" t="s">
        <v>5</v>
      </c>
      <c r="E4" s="7" t="s">
        <v>4</v>
      </c>
      <c r="F4" s="7" t="s">
        <v>5</v>
      </c>
      <c r="G4" s="7" t="s">
        <v>4</v>
      </c>
      <c r="H4" s="7" t="s">
        <v>5</v>
      </c>
      <c r="I4" s="7" t="s">
        <v>5</v>
      </c>
    </row>
    <row r="5" spans="2:9" ht="34.799999999999997" customHeight="1" x14ac:dyDescent="0.4">
      <c r="B5" s="4" t="s">
        <v>39</v>
      </c>
      <c r="C5" s="4" t="s">
        <v>7</v>
      </c>
      <c r="D5" s="4" t="s">
        <v>8</v>
      </c>
      <c r="E5" s="4" t="s">
        <v>9</v>
      </c>
      <c r="F5" s="4" t="s">
        <v>8</v>
      </c>
      <c r="G5" s="4" t="s">
        <v>9</v>
      </c>
      <c r="H5" s="4" t="s">
        <v>8</v>
      </c>
      <c r="I5" s="4" t="s">
        <v>10</v>
      </c>
    </row>
    <row r="7" spans="2:9" x14ac:dyDescent="0.4">
      <c r="B7" s="77" t="s">
        <v>38</v>
      </c>
      <c r="C7" s="77" t="s">
        <v>3</v>
      </c>
      <c r="D7" s="77"/>
      <c r="E7" s="77" t="s">
        <v>16</v>
      </c>
      <c r="F7" s="77"/>
      <c r="G7" s="77" t="s">
        <v>17</v>
      </c>
      <c r="H7" s="77"/>
      <c r="I7" s="7" t="s">
        <v>37</v>
      </c>
    </row>
    <row r="8" spans="2:9" x14ac:dyDescent="0.4">
      <c r="B8" s="77"/>
      <c r="C8" s="7" t="s">
        <v>4</v>
      </c>
      <c r="D8" s="7" t="s">
        <v>5</v>
      </c>
      <c r="E8" s="7" t="s">
        <v>4</v>
      </c>
      <c r="F8" s="7" t="s">
        <v>5</v>
      </c>
      <c r="G8" s="7" t="s">
        <v>4</v>
      </c>
      <c r="H8" s="7" t="s">
        <v>5</v>
      </c>
      <c r="I8" s="7" t="s">
        <v>5</v>
      </c>
    </row>
    <row r="9" spans="2:9" ht="34.799999999999997" customHeight="1" x14ac:dyDescent="0.4">
      <c r="B9" s="4" t="s">
        <v>40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9</v>
      </c>
      <c r="H9" s="4" t="s">
        <v>8</v>
      </c>
      <c r="I9" s="4" t="s">
        <v>8</v>
      </c>
    </row>
  </sheetData>
  <mergeCells count="8">
    <mergeCell ref="G3:H3"/>
    <mergeCell ref="B7:B8"/>
    <mergeCell ref="C7:D7"/>
    <mergeCell ref="E7:F7"/>
    <mergeCell ref="G7:H7"/>
    <mergeCell ref="B3:B4"/>
    <mergeCell ref="C3:D3"/>
    <mergeCell ref="E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요금제종합</vt:lpstr>
      <vt:lpstr>구독요금제</vt:lpstr>
      <vt:lpstr>PiCafe요금제</vt:lpstr>
      <vt:lpstr>PiStore요금제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영록 원</dc:creator>
  <cp:lastModifiedBy>영록 원</cp:lastModifiedBy>
  <dcterms:created xsi:type="dcterms:W3CDTF">2026-06-18T04:04:03Z</dcterms:created>
  <dcterms:modified xsi:type="dcterms:W3CDTF">2026-06-18T07:18:37Z</dcterms:modified>
</cp:coreProperties>
</file>